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bobbystyles/Desktop/"/>
    </mc:Choice>
  </mc:AlternateContent>
  <xr:revisionPtr revIDLastSave="0" documentId="13_ncr:1_{C206C0D9-2430-D54A-95F3-5DE1A1DA2EF6}" xr6:coauthVersionLast="47" xr6:coauthVersionMax="47" xr10:uidLastSave="{00000000-0000-0000-0000-000000000000}"/>
  <bookViews>
    <workbookView xWindow="1820" yWindow="980" windowWidth="26420" windowHeight="16220" xr2:uid="{00000000-000D-0000-FFFF-FFFF00000000}"/>
  </bookViews>
  <sheets>
    <sheet name="Component_Specs" sheetId="1" r:id="rId1"/>
    <sheet name="Mission_Phases" sheetId="2" r:id="rId2"/>
    <sheet name="Duty_Factor_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4" i="3" s="1"/>
  <c r="D9" i="3"/>
  <c r="D14" i="3" s="1"/>
  <c r="E9" i="3"/>
  <c r="E14" i="3" s="1"/>
  <c r="F9" i="3"/>
  <c r="F14" i="3" s="1"/>
  <c r="G9" i="3"/>
  <c r="G14" i="3" s="1"/>
  <c r="H9" i="3"/>
  <c r="H14" i="3" s="1"/>
  <c r="I9" i="3"/>
  <c r="I14" i="3" s="1"/>
  <c r="J9" i="3"/>
  <c r="J14" i="3" s="1"/>
  <c r="K9" i="3"/>
  <c r="K14" i="3" s="1"/>
  <c r="L9" i="3"/>
  <c r="M9" i="3"/>
  <c r="M14" i="3" s="1"/>
  <c r="N9" i="3"/>
  <c r="N14" i="3" s="1"/>
  <c r="N17" i="3" s="1"/>
  <c r="C11" i="3"/>
  <c r="D11" i="3"/>
  <c r="E11" i="3"/>
  <c r="F11" i="3"/>
  <c r="G11" i="3"/>
  <c r="H11" i="3"/>
  <c r="I11" i="3"/>
  <c r="J11" i="3"/>
  <c r="K11" i="3"/>
  <c r="L11" i="3"/>
  <c r="M11" i="3"/>
  <c r="N11" i="3"/>
  <c r="B11" i="3"/>
  <c r="B9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L8" i="1"/>
  <c r="L3" i="1"/>
  <c r="H12" i="3" l="1"/>
  <c r="B12" i="3"/>
  <c r="M12" i="3"/>
  <c r="G10" i="3"/>
  <c r="G15" i="3" s="1"/>
  <c r="N12" i="3"/>
  <c r="L12" i="3"/>
  <c r="I12" i="3"/>
  <c r="C12" i="3"/>
  <c r="E12" i="3"/>
  <c r="F12" i="3"/>
  <c r="K12" i="3"/>
  <c r="J12" i="3"/>
  <c r="D12" i="3"/>
  <c r="G12" i="3"/>
  <c r="N10" i="3"/>
  <c r="N15" i="3" s="1"/>
  <c r="N16" i="3" s="1"/>
  <c r="D10" i="3"/>
  <c r="D15" i="3" s="1"/>
  <c r="C10" i="3"/>
  <c r="C15" i="3" s="1"/>
  <c r="F10" i="3"/>
  <c r="F15" i="3" s="1"/>
  <c r="E10" i="3"/>
  <c r="E15" i="3" s="1"/>
  <c r="L18" i="3"/>
  <c r="H10" i="3"/>
  <c r="H15" i="3" s="1"/>
  <c r="B18" i="3"/>
  <c r="M10" i="3"/>
  <c r="M15" i="3" s="1"/>
  <c r="L10" i="3"/>
  <c r="L15" i="3" s="1"/>
  <c r="K10" i="3"/>
  <c r="K15" i="3" s="1"/>
  <c r="B10" i="3"/>
  <c r="B15" i="3" s="1"/>
  <c r="I10" i="3"/>
  <c r="I15" i="3" s="1"/>
  <c r="J10" i="3"/>
  <c r="J15" i="3" s="1"/>
  <c r="L14" i="3"/>
  <c r="L17" i="3" s="1"/>
  <c r="N18" i="3"/>
  <c r="F17" i="3"/>
  <c r="F18" i="3"/>
  <c r="B14" i="3"/>
  <c r="B17" i="3" s="1"/>
  <c r="L9" i="1"/>
  <c r="L4" i="1"/>
  <c r="B16" i="3" l="1"/>
  <c r="L16" i="3"/>
  <c r="F16" i="3"/>
</calcChain>
</file>

<file path=xl/sharedStrings.xml><?xml version="1.0" encoding="utf-8"?>
<sst xmlns="http://schemas.openxmlformats.org/spreadsheetml/2006/main" count="134" uniqueCount="65">
  <si>
    <t>Rail</t>
  </si>
  <si>
    <t>Component</t>
  </si>
  <si>
    <t>Peak Current</t>
  </si>
  <si>
    <t>Wheel Motor 1</t>
  </si>
  <si>
    <t>Wheel Motor 2</t>
  </si>
  <si>
    <t>Wheel Motor 3</t>
  </si>
  <si>
    <t>Wheel Motor 4</t>
  </si>
  <si>
    <t>Arm Motor 1</t>
  </si>
  <si>
    <t>Arm Motor 2</t>
  </si>
  <si>
    <t>Arm Motor 3</t>
  </si>
  <si>
    <t>Jetson</t>
  </si>
  <si>
    <t>OpenCR</t>
  </si>
  <si>
    <t>GNSS RTK</t>
  </si>
  <si>
    <t>Environmental Sensor</t>
  </si>
  <si>
    <t>WifiAP</t>
  </si>
  <si>
    <t>Misc. LD Sensor</t>
  </si>
  <si>
    <t>LD Lamp</t>
  </si>
  <si>
    <t>System</t>
  </si>
  <si>
    <t>Rover</t>
  </si>
  <si>
    <t>Arm</t>
  </si>
  <si>
    <t>LD</t>
  </si>
  <si>
    <t>LD Drill</t>
  </si>
  <si>
    <t>Misc. LD Actuator</t>
  </si>
  <si>
    <t>Arm Config</t>
  </si>
  <si>
    <t>Peak Power</t>
  </si>
  <si>
    <t>LD Config</t>
  </si>
  <si>
    <t>Continuous Power (W)</t>
  </si>
  <si>
    <t>Continuous Current (A)</t>
  </si>
  <si>
    <t>Continuous Current</t>
  </si>
  <si>
    <t>Continuous Power</t>
  </si>
  <si>
    <t>Science Mission</t>
  </si>
  <si>
    <t>Delivery Mission</t>
  </si>
  <si>
    <t>Equipment Servicing Mission</t>
  </si>
  <si>
    <t>Autonomous Navigation Mission</t>
  </si>
  <si>
    <t>30 minutes</t>
  </si>
  <si>
    <t>60 minutes</t>
  </si>
  <si>
    <t>Phase</t>
  </si>
  <si>
    <t>Duration</t>
  </si>
  <si>
    <t>Traverse</t>
  </si>
  <si>
    <t>Life-Detection Ops Drill</t>
  </si>
  <si>
    <t>Life-Detection Ops Other</t>
  </si>
  <si>
    <t>Traverse 1</t>
  </si>
  <si>
    <t>Arm Task 1</t>
  </si>
  <si>
    <t>Traverse 2</t>
  </si>
  <si>
    <t>Arm Task 2</t>
  </si>
  <si>
    <t>Traverse 3</t>
  </si>
  <si>
    <t>Arm Task 3</t>
  </si>
  <si>
    <t>Return</t>
  </si>
  <si>
    <t>Arm Operation</t>
  </si>
  <si>
    <t>Type</t>
  </si>
  <si>
    <t>Wheel Motors</t>
  </si>
  <si>
    <t>Arm Motors</t>
  </si>
  <si>
    <t>LD Other</t>
  </si>
  <si>
    <t>Comm &amp; Compute</t>
  </si>
  <si>
    <t>Autonomous Navigation</t>
  </si>
  <si>
    <t>Phase Continuous Current Draw</t>
  </si>
  <si>
    <t>Phase Continuous Power</t>
  </si>
  <si>
    <t>Phase Peak Current Draw</t>
  </si>
  <si>
    <t>Phase Peak Power Draw</t>
  </si>
  <si>
    <t>Wh</t>
  </si>
  <si>
    <t>Max Continuous Current</t>
  </si>
  <si>
    <t>Ah</t>
  </si>
  <si>
    <t>Total Wh For Phase</t>
  </si>
  <si>
    <t>Total Ah For Phase</t>
  </si>
  <si>
    <t>Extra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</si>
</sst>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/>
    <xf numFmtId="0" fontId="0" fillId="0" borderId="9" xfId="0" applyBorder="1"/>
    <xf numFmtId="1" fontId="0" fillId="0" borderId="5" xfId="0" applyNumberFormat="1" applyBorder="1"/>
    <xf numFmtId="1" fontId="0" fillId="0" borderId="9" xfId="0" applyNumberFormat="1" applyBorder="1"/>
    <xf numFmtId="1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1" fillId="0" borderId="11" xfId="0" applyFont="1" applyBorder="1"/>
    <xf numFmtId="0" fontId="0" fillId="0" borderId="2" xfId="0" applyBorder="1"/>
    <xf numFmtId="1" fontId="0" fillId="0" borderId="2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2" max="2" width="18.83203125" customWidth="1"/>
    <col min="3" max="3" width="16.83203125" customWidth="1"/>
    <col min="4" max="4" width="9.1640625" customWidth="1"/>
    <col min="5" max="6" width="19.83203125" customWidth="1"/>
    <col min="7" max="7" width="11.6640625" customWidth="1"/>
    <col min="8" max="8" width="10.5" customWidth="1"/>
    <col min="11" max="11" width="17.1640625" customWidth="1"/>
  </cols>
  <sheetData>
    <row r="1" spans="1:12" x14ac:dyDescent="0.2">
      <c r="A1" t="s">
        <v>0</v>
      </c>
      <c r="B1" t="s">
        <v>1</v>
      </c>
      <c r="C1" t="s">
        <v>49</v>
      </c>
      <c r="D1" t="s">
        <v>17</v>
      </c>
      <c r="E1" t="s">
        <v>27</v>
      </c>
      <c r="F1" t="s">
        <v>26</v>
      </c>
      <c r="G1" t="s">
        <v>2</v>
      </c>
      <c r="H1" t="s">
        <v>24</v>
      </c>
    </row>
    <row r="2" spans="1:12" x14ac:dyDescent="0.2">
      <c r="A2">
        <v>24</v>
      </c>
      <c r="B2" t="s">
        <v>3</v>
      </c>
      <c r="C2" t="s">
        <v>50</v>
      </c>
      <c r="D2" t="s">
        <v>18</v>
      </c>
      <c r="E2">
        <v>3</v>
      </c>
      <c r="F2">
        <f>A2*E2</f>
        <v>72</v>
      </c>
      <c r="G2">
        <v>30</v>
      </c>
      <c r="H2">
        <f>A2*G2</f>
        <v>720</v>
      </c>
      <c r="K2" t="s">
        <v>23</v>
      </c>
    </row>
    <row r="3" spans="1:12" x14ac:dyDescent="0.2">
      <c r="A3">
        <v>24</v>
      </c>
      <c r="B3" t="s">
        <v>4</v>
      </c>
      <c r="C3" t="s">
        <v>50</v>
      </c>
      <c r="D3" t="s">
        <v>18</v>
      </c>
      <c r="E3">
        <v>3</v>
      </c>
      <c r="F3">
        <f t="shared" ref="F3:F23" si="0">A3*E3</f>
        <v>72</v>
      </c>
      <c r="G3">
        <v>30</v>
      </c>
      <c r="H3">
        <f t="shared" ref="H3:H23" si="1">A3*G3</f>
        <v>720</v>
      </c>
      <c r="K3" t="s">
        <v>28</v>
      </c>
      <c r="L3" s="1">
        <f>SUMIF($D$2:$D$23,"Rover",$E$2:$E$23)
+ SUMIF($D$2:$D$23,"Arm",$E$2:$E$23)</f>
        <v>39.299999999999997</v>
      </c>
    </row>
    <row r="4" spans="1:12" x14ac:dyDescent="0.2">
      <c r="A4">
        <v>24</v>
      </c>
      <c r="B4" t="s">
        <v>5</v>
      </c>
      <c r="C4" t="s">
        <v>50</v>
      </c>
      <c r="D4" t="s">
        <v>18</v>
      </c>
      <c r="E4">
        <v>3</v>
      </c>
      <c r="F4">
        <f t="shared" si="0"/>
        <v>72</v>
      </c>
      <c r="G4">
        <v>30</v>
      </c>
      <c r="H4">
        <f t="shared" si="1"/>
        <v>720</v>
      </c>
      <c r="K4" t="s">
        <v>29</v>
      </c>
      <c r="L4" s="1">
        <f>SUMIF($D$2:$D$23,"Rover",$F$2:$F$23)
+ SUMIF($D$2:$D$23,"Arm",$F$2:$F$23)</f>
        <v>893.5</v>
      </c>
    </row>
    <row r="5" spans="1:12" x14ac:dyDescent="0.2">
      <c r="A5">
        <v>24</v>
      </c>
      <c r="B5" t="s">
        <v>6</v>
      </c>
      <c r="C5" t="s">
        <v>50</v>
      </c>
      <c r="D5" t="s">
        <v>18</v>
      </c>
      <c r="E5">
        <v>3</v>
      </c>
      <c r="F5">
        <f t="shared" si="0"/>
        <v>72</v>
      </c>
      <c r="G5">
        <v>30</v>
      </c>
      <c r="H5">
        <f t="shared" si="1"/>
        <v>720</v>
      </c>
    </row>
    <row r="6" spans="1:12" x14ac:dyDescent="0.2">
      <c r="A6">
        <v>24</v>
      </c>
      <c r="B6" t="s">
        <v>7</v>
      </c>
      <c r="C6" t="s">
        <v>51</v>
      </c>
      <c r="D6" t="s">
        <v>19</v>
      </c>
      <c r="E6">
        <v>8.3000000000000007</v>
      </c>
      <c r="F6">
        <f t="shared" si="0"/>
        <v>199.20000000000002</v>
      </c>
      <c r="G6">
        <v>35</v>
      </c>
      <c r="H6">
        <f t="shared" si="1"/>
        <v>840</v>
      </c>
    </row>
    <row r="7" spans="1:12" x14ac:dyDescent="0.2">
      <c r="A7">
        <v>24</v>
      </c>
      <c r="B7" t="s">
        <v>8</v>
      </c>
      <c r="C7" t="s">
        <v>51</v>
      </c>
      <c r="D7" t="s">
        <v>19</v>
      </c>
      <c r="E7">
        <v>6.7</v>
      </c>
      <c r="F7">
        <f t="shared" si="0"/>
        <v>160.80000000000001</v>
      </c>
      <c r="G7">
        <v>35</v>
      </c>
      <c r="H7">
        <f t="shared" si="1"/>
        <v>840</v>
      </c>
      <c r="K7" t="s">
        <v>25</v>
      </c>
    </row>
    <row r="8" spans="1:12" x14ac:dyDescent="0.2">
      <c r="A8">
        <v>24</v>
      </c>
      <c r="B8" t="s">
        <v>9</v>
      </c>
      <c r="C8" t="s">
        <v>51</v>
      </c>
      <c r="D8" t="s">
        <v>19</v>
      </c>
      <c r="E8">
        <v>6.5</v>
      </c>
      <c r="F8">
        <f t="shared" si="0"/>
        <v>156</v>
      </c>
      <c r="G8">
        <v>35</v>
      </c>
      <c r="H8">
        <f t="shared" si="1"/>
        <v>840</v>
      </c>
      <c r="K8" t="s">
        <v>28</v>
      </c>
      <c r="L8" s="1">
        <f>SUMIF($D$2:$D$23,"Rover",$E$2:$E$23)
+ SUMIF($D$2:$D$23,"LD",$E$2:$E$23)</f>
        <v>52.6</v>
      </c>
    </row>
    <row r="9" spans="1:12" x14ac:dyDescent="0.2">
      <c r="A9">
        <v>24</v>
      </c>
      <c r="B9" t="s">
        <v>64</v>
      </c>
      <c r="C9" t="s">
        <v>51</v>
      </c>
      <c r="D9" t="s">
        <v>19</v>
      </c>
      <c r="E9">
        <v>0.8</v>
      </c>
      <c r="F9">
        <f t="shared" si="0"/>
        <v>19.200000000000003</v>
      </c>
      <c r="G9">
        <v>35</v>
      </c>
      <c r="H9">
        <f t="shared" si="1"/>
        <v>840</v>
      </c>
      <c r="K9" t="s">
        <v>29</v>
      </c>
      <c r="L9" s="1">
        <f>SUMIF($D$2:$D$23,"Rover",$F$2:$F$23)
+ SUMIF($D$2:$D$23,"LD",$F$2:$F$23)</f>
        <v>1138.3999999999999</v>
      </c>
    </row>
    <row r="10" spans="1:12" x14ac:dyDescent="0.2">
      <c r="A10">
        <v>24</v>
      </c>
      <c r="B10" t="s">
        <v>21</v>
      </c>
      <c r="C10" t="s">
        <v>21</v>
      </c>
      <c r="D10" t="s">
        <v>20</v>
      </c>
      <c r="E10">
        <v>16</v>
      </c>
      <c r="F10">
        <f t="shared" si="0"/>
        <v>384</v>
      </c>
      <c r="G10">
        <v>30</v>
      </c>
      <c r="H10">
        <f t="shared" si="1"/>
        <v>720</v>
      </c>
    </row>
    <row r="11" spans="1:12" x14ac:dyDescent="0.2">
      <c r="A11">
        <v>24</v>
      </c>
      <c r="B11" t="s">
        <v>22</v>
      </c>
      <c r="C11" t="s">
        <v>52</v>
      </c>
      <c r="D11" t="s">
        <v>20</v>
      </c>
      <c r="E11">
        <v>8</v>
      </c>
      <c r="F11">
        <f t="shared" si="0"/>
        <v>192</v>
      </c>
      <c r="G11">
        <v>16</v>
      </c>
      <c r="H11">
        <f t="shared" si="1"/>
        <v>384</v>
      </c>
    </row>
    <row r="12" spans="1:12" x14ac:dyDescent="0.2">
      <c r="A12">
        <v>24</v>
      </c>
      <c r="B12" t="s">
        <v>22</v>
      </c>
      <c r="C12" t="s">
        <v>52</v>
      </c>
      <c r="D12" t="s">
        <v>20</v>
      </c>
      <c r="E12">
        <v>8</v>
      </c>
      <c r="F12">
        <f t="shared" si="0"/>
        <v>192</v>
      </c>
      <c r="G12">
        <v>16</v>
      </c>
      <c r="H12">
        <f t="shared" si="1"/>
        <v>384</v>
      </c>
    </row>
    <row r="13" spans="1:12" x14ac:dyDescent="0.2">
      <c r="A13">
        <v>24</v>
      </c>
      <c r="B13" t="s">
        <v>14</v>
      </c>
      <c r="C13" t="s">
        <v>53</v>
      </c>
      <c r="D13" t="s">
        <v>18</v>
      </c>
      <c r="E13">
        <v>1</v>
      </c>
      <c r="F13">
        <f t="shared" si="0"/>
        <v>24</v>
      </c>
      <c r="G13">
        <v>2</v>
      </c>
      <c r="H13">
        <f t="shared" si="1"/>
        <v>48</v>
      </c>
    </row>
    <row r="14" spans="1:12" x14ac:dyDescent="0.2">
      <c r="A14">
        <v>19</v>
      </c>
      <c r="B14" t="s">
        <v>10</v>
      </c>
      <c r="C14" t="s">
        <v>53</v>
      </c>
      <c r="D14" t="s">
        <v>18</v>
      </c>
      <c r="E14">
        <v>2</v>
      </c>
      <c r="F14">
        <f t="shared" si="0"/>
        <v>38</v>
      </c>
      <c r="G14">
        <v>3</v>
      </c>
      <c r="H14">
        <f t="shared" si="1"/>
        <v>57</v>
      </c>
    </row>
    <row r="15" spans="1:12" x14ac:dyDescent="0.2">
      <c r="A15">
        <v>5</v>
      </c>
      <c r="B15" t="s">
        <v>11</v>
      </c>
      <c r="C15" t="s">
        <v>53</v>
      </c>
      <c r="D15" t="s">
        <v>18</v>
      </c>
      <c r="E15">
        <v>1</v>
      </c>
      <c r="F15">
        <f t="shared" si="0"/>
        <v>5</v>
      </c>
      <c r="G15">
        <v>5</v>
      </c>
      <c r="H15">
        <f t="shared" si="1"/>
        <v>25</v>
      </c>
    </row>
    <row r="16" spans="1:12" x14ac:dyDescent="0.2">
      <c r="A16">
        <v>3.3</v>
      </c>
      <c r="B16" t="s">
        <v>12</v>
      </c>
      <c r="C16" t="s">
        <v>53</v>
      </c>
      <c r="D16" t="s">
        <v>18</v>
      </c>
      <c r="E16">
        <v>0.5</v>
      </c>
      <c r="F16">
        <f t="shared" si="0"/>
        <v>1.65</v>
      </c>
      <c r="G16">
        <v>1</v>
      </c>
      <c r="H16">
        <f t="shared" si="1"/>
        <v>3.3</v>
      </c>
    </row>
    <row r="17" spans="1:8" x14ac:dyDescent="0.2">
      <c r="A17">
        <v>3.3</v>
      </c>
      <c r="B17" t="s">
        <v>13</v>
      </c>
      <c r="C17" t="s">
        <v>53</v>
      </c>
      <c r="D17" t="s">
        <v>18</v>
      </c>
      <c r="E17">
        <v>0.5</v>
      </c>
      <c r="F17">
        <f t="shared" si="0"/>
        <v>1.65</v>
      </c>
      <c r="G17">
        <v>1</v>
      </c>
      <c r="H17">
        <f t="shared" si="1"/>
        <v>3.3</v>
      </c>
    </row>
    <row r="18" spans="1:8" x14ac:dyDescent="0.2">
      <c r="A18">
        <v>3.3</v>
      </c>
      <c r="B18" t="s">
        <v>15</v>
      </c>
      <c r="C18" t="s">
        <v>52</v>
      </c>
      <c r="D18" t="s">
        <v>20</v>
      </c>
      <c r="E18">
        <v>0.5</v>
      </c>
      <c r="F18">
        <f t="shared" si="0"/>
        <v>1.65</v>
      </c>
      <c r="G18">
        <v>1</v>
      </c>
      <c r="H18">
        <f t="shared" si="1"/>
        <v>3.3</v>
      </c>
    </row>
    <row r="19" spans="1:8" x14ac:dyDescent="0.2">
      <c r="A19">
        <v>3.3</v>
      </c>
      <c r="B19" t="s">
        <v>15</v>
      </c>
      <c r="C19" t="s">
        <v>52</v>
      </c>
      <c r="D19" t="s">
        <v>20</v>
      </c>
      <c r="E19">
        <v>0.5</v>
      </c>
      <c r="F19">
        <f t="shared" si="0"/>
        <v>1.65</v>
      </c>
      <c r="G19">
        <v>1</v>
      </c>
      <c r="H19">
        <f t="shared" si="1"/>
        <v>3.3</v>
      </c>
    </row>
    <row r="20" spans="1:8" x14ac:dyDescent="0.2">
      <c r="A20">
        <v>3.3</v>
      </c>
      <c r="B20" t="s">
        <v>15</v>
      </c>
      <c r="C20" t="s">
        <v>52</v>
      </c>
      <c r="D20" t="s">
        <v>20</v>
      </c>
      <c r="E20">
        <v>0.5</v>
      </c>
      <c r="F20">
        <f t="shared" si="0"/>
        <v>1.65</v>
      </c>
      <c r="G20">
        <v>1</v>
      </c>
      <c r="H20">
        <f t="shared" si="1"/>
        <v>3.3</v>
      </c>
    </row>
    <row r="21" spans="1:8" x14ac:dyDescent="0.2">
      <c r="A21">
        <v>3.3</v>
      </c>
      <c r="B21" t="s">
        <v>15</v>
      </c>
      <c r="C21" t="s">
        <v>52</v>
      </c>
      <c r="D21" t="s">
        <v>20</v>
      </c>
      <c r="E21">
        <v>0.5</v>
      </c>
      <c r="F21">
        <f t="shared" si="0"/>
        <v>1.65</v>
      </c>
      <c r="G21">
        <v>1</v>
      </c>
      <c r="H21">
        <f t="shared" si="1"/>
        <v>3.3</v>
      </c>
    </row>
    <row r="22" spans="1:8" x14ac:dyDescent="0.2">
      <c r="A22">
        <v>3.3</v>
      </c>
      <c r="B22" t="s">
        <v>15</v>
      </c>
      <c r="C22" t="s">
        <v>52</v>
      </c>
      <c r="D22" t="s">
        <v>20</v>
      </c>
      <c r="E22">
        <v>0.5</v>
      </c>
      <c r="F22">
        <f t="shared" si="0"/>
        <v>1.65</v>
      </c>
      <c r="G22">
        <v>1</v>
      </c>
      <c r="H22">
        <f t="shared" si="1"/>
        <v>3.3</v>
      </c>
    </row>
    <row r="23" spans="1:8" x14ac:dyDescent="0.2">
      <c r="A23">
        <v>3.5</v>
      </c>
      <c r="B23" t="s">
        <v>16</v>
      </c>
      <c r="C23" t="s">
        <v>52</v>
      </c>
      <c r="D23" t="s">
        <v>20</v>
      </c>
      <c r="E23">
        <v>1.1000000000000001</v>
      </c>
      <c r="F23">
        <f t="shared" si="0"/>
        <v>3.8500000000000005</v>
      </c>
      <c r="G23">
        <v>2</v>
      </c>
      <c r="H23">
        <f t="shared" si="1"/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64E3-DD03-45B4-A519-D1726577E2CF}">
  <dimension ref="A1:B21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28" customWidth="1"/>
    <col min="2" max="2" width="10.33203125" customWidth="1"/>
  </cols>
  <sheetData>
    <row r="1" spans="1:2" x14ac:dyDescent="0.2">
      <c r="A1" s="27" t="s">
        <v>30</v>
      </c>
      <c r="B1" s="27" t="s">
        <v>34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>
        <v>5</v>
      </c>
    </row>
    <row r="4" spans="1:2" x14ac:dyDescent="0.2">
      <c r="A4" t="s">
        <v>39</v>
      </c>
      <c r="B4">
        <v>10</v>
      </c>
    </row>
    <row r="5" spans="1:2" x14ac:dyDescent="0.2">
      <c r="A5" t="s">
        <v>40</v>
      </c>
      <c r="B5">
        <v>10</v>
      </c>
    </row>
    <row r="6" spans="1:2" x14ac:dyDescent="0.2">
      <c r="A6" t="s">
        <v>47</v>
      </c>
      <c r="B6">
        <v>5</v>
      </c>
    </row>
    <row r="8" spans="1:2" x14ac:dyDescent="0.2">
      <c r="A8" s="27" t="s">
        <v>31</v>
      </c>
      <c r="B8" s="27" t="s">
        <v>35</v>
      </c>
    </row>
    <row r="9" spans="1:2" x14ac:dyDescent="0.2">
      <c r="A9" t="s">
        <v>41</v>
      </c>
      <c r="B9">
        <v>10</v>
      </c>
    </row>
    <row r="10" spans="1:2" x14ac:dyDescent="0.2">
      <c r="A10" t="s">
        <v>42</v>
      </c>
      <c r="B10">
        <v>10</v>
      </c>
    </row>
    <row r="11" spans="1:2" x14ac:dyDescent="0.2">
      <c r="A11" t="s">
        <v>43</v>
      </c>
      <c r="B11">
        <v>10</v>
      </c>
    </row>
    <row r="12" spans="1:2" x14ac:dyDescent="0.2">
      <c r="A12" t="s">
        <v>44</v>
      </c>
      <c r="B12">
        <v>10</v>
      </c>
    </row>
    <row r="13" spans="1:2" x14ac:dyDescent="0.2">
      <c r="A13" t="s">
        <v>45</v>
      </c>
      <c r="B13">
        <v>10</v>
      </c>
    </row>
    <row r="14" spans="1:2" x14ac:dyDescent="0.2">
      <c r="A14" t="s">
        <v>46</v>
      </c>
      <c r="B14">
        <v>10</v>
      </c>
    </row>
    <row r="16" spans="1:2" x14ac:dyDescent="0.2">
      <c r="A16" s="27" t="s">
        <v>32</v>
      </c>
      <c r="B16" s="27" t="s">
        <v>34</v>
      </c>
    </row>
    <row r="17" spans="1:2" x14ac:dyDescent="0.2">
      <c r="A17" t="s">
        <v>38</v>
      </c>
      <c r="B17">
        <v>5</v>
      </c>
    </row>
    <row r="18" spans="1:2" x14ac:dyDescent="0.2">
      <c r="A18" t="s">
        <v>48</v>
      </c>
      <c r="B18">
        <v>25</v>
      </c>
    </row>
    <row r="20" spans="1:2" x14ac:dyDescent="0.2">
      <c r="A20" s="27" t="s">
        <v>33</v>
      </c>
      <c r="B20" s="27" t="s">
        <v>34</v>
      </c>
    </row>
    <row r="21" spans="1:2" x14ac:dyDescent="0.2">
      <c r="A21" t="s">
        <v>38</v>
      </c>
      <c r="B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7CD5-CF6F-42AE-8A13-88FDC718C41A}">
  <dimension ref="A1:N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baseColWidth="10" defaultColWidth="8.83203125" defaultRowHeight="15" x14ac:dyDescent="0.2"/>
  <cols>
    <col min="1" max="1" width="37" customWidth="1"/>
    <col min="3" max="3" width="20.33203125" customWidth="1"/>
    <col min="4" max="4" width="21.33203125" customWidth="1"/>
    <col min="6" max="7" width="10" customWidth="1"/>
    <col min="8" max="9" width="10.1640625" customWidth="1"/>
    <col min="10" max="10" width="10.33203125" customWidth="1"/>
    <col min="11" max="11" width="11.1640625" customWidth="1"/>
    <col min="12" max="12" width="12.1640625" customWidth="1"/>
    <col min="13" max="13" width="13.33203125" customWidth="1"/>
    <col min="14" max="14" width="21.1640625" customWidth="1"/>
  </cols>
  <sheetData>
    <row r="1" spans="1:14" x14ac:dyDescent="0.2">
      <c r="B1" s="4" t="s">
        <v>30</v>
      </c>
      <c r="C1" s="7"/>
      <c r="D1" s="7"/>
      <c r="E1" s="8"/>
      <c r="F1" s="4" t="s">
        <v>31</v>
      </c>
      <c r="G1" s="7"/>
      <c r="H1" s="7"/>
      <c r="I1" s="7"/>
      <c r="J1" s="7"/>
      <c r="K1" s="8"/>
      <c r="L1" s="4" t="s">
        <v>32</v>
      </c>
      <c r="M1" s="8"/>
      <c r="N1" s="2" t="s">
        <v>54</v>
      </c>
    </row>
    <row r="2" spans="1:14" x14ac:dyDescent="0.2">
      <c r="B2" s="6" t="s">
        <v>38</v>
      </c>
      <c r="C2" s="16" t="s">
        <v>39</v>
      </c>
      <c r="D2" s="16" t="s">
        <v>40</v>
      </c>
      <c r="E2" s="17" t="s">
        <v>47</v>
      </c>
      <c r="F2" s="6" t="s">
        <v>41</v>
      </c>
      <c r="G2" s="16" t="s">
        <v>42</v>
      </c>
      <c r="H2" s="16" t="s">
        <v>43</v>
      </c>
      <c r="I2" s="16" t="s">
        <v>44</v>
      </c>
      <c r="J2" s="16" t="s">
        <v>45</v>
      </c>
      <c r="K2" s="17" t="s">
        <v>46</v>
      </c>
      <c r="L2" s="6" t="s">
        <v>38</v>
      </c>
      <c r="M2" s="17" t="s">
        <v>48</v>
      </c>
      <c r="N2" s="3" t="s">
        <v>38</v>
      </c>
    </row>
    <row r="3" spans="1:14" x14ac:dyDescent="0.2">
      <c r="A3" s="4" t="s">
        <v>50</v>
      </c>
      <c r="B3" s="9">
        <v>1</v>
      </c>
      <c r="C3">
        <v>0.1</v>
      </c>
      <c r="D3">
        <v>0.1</v>
      </c>
      <c r="E3" s="10">
        <v>1</v>
      </c>
      <c r="F3" s="9">
        <v>1</v>
      </c>
      <c r="G3">
        <v>0.2</v>
      </c>
      <c r="H3">
        <v>1</v>
      </c>
      <c r="I3">
        <v>0.2</v>
      </c>
      <c r="J3">
        <v>1</v>
      </c>
      <c r="K3" s="10">
        <v>0.2</v>
      </c>
      <c r="L3" s="9">
        <v>1</v>
      </c>
      <c r="M3" s="10">
        <v>0.2</v>
      </c>
      <c r="N3" s="18">
        <v>1</v>
      </c>
    </row>
    <row r="4" spans="1:14" x14ac:dyDescent="0.2">
      <c r="A4" s="5" t="s">
        <v>51</v>
      </c>
      <c r="B4" s="9">
        <v>0</v>
      </c>
      <c r="C4">
        <v>0</v>
      </c>
      <c r="D4">
        <v>0</v>
      </c>
      <c r="E4" s="10">
        <v>0</v>
      </c>
      <c r="F4" s="9">
        <v>0</v>
      </c>
      <c r="G4">
        <v>0.3</v>
      </c>
      <c r="H4">
        <v>0.05</v>
      </c>
      <c r="I4">
        <v>0.3</v>
      </c>
      <c r="J4">
        <v>0.05</v>
      </c>
      <c r="K4" s="10">
        <v>0.3</v>
      </c>
      <c r="L4" s="9">
        <v>0.05</v>
      </c>
      <c r="M4" s="10">
        <v>0.3</v>
      </c>
      <c r="N4" s="18">
        <v>0</v>
      </c>
    </row>
    <row r="5" spans="1:14" x14ac:dyDescent="0.2">
      <c r="A5" s="5" t="s">
        <v>21</v>
      </c>
      <c r="B5" s="9">
        <v>0</v>
      </c>
      <c r="C5">
        <v>1</v>
      </c>
      <c r="D5">
        <v>0</v>
      </c>
      <c r="E5" s="10">
        <v>0</v>
      </c>
      <c r="F5" s="9">
        <v>0</v>
      </c>
      <c r="G5">
        <v>0</v>
      </c>
      <c r="H5">
        <v>0</v>
      </c>
      <c r="I5">
        <v>0</v>
      </c>
      <c r="J5">
        <v>0</v>
      </c>
      <c r="K5" s="10">
        <v>0</v>
      </c>
      <c r="L5" s="9">
        <v>0</v>
      </c>
      <c r="M5" s="10">
        <v>0</v>
      </c>
      <c r="N5" s="18">
        <v>0</v>
      </c>
    </row>
    <row r="6" spans="1:14" x14ac:dyDescent="0.2">
      <c r="A6" s="5" t="s">
        <v>52</v>
      </c>
      <c r="B6" s="9">
        <v>0</v>
      </c>
      <c r="C6">
        <v>0.5</v>
      </c>
      <c r="D6">
        <v>1</v>
      </c>
      <c r="E6" s="10">
        <v>0</v>
      </c>
      <c r="F6" s="9">
        <v>0</v>
      </c>
      <c r="G6">
        <v>0</v>
      </c>
      <c r="H6">
        <v>0</v>
      </c>
      <c r="I6">
        <v>0</v>
      </c>
      <c r="J6">
        <v>0</v>
      </c>
      <c r="K6" s="10">
        <v>0</v>
      </c>
      <c r="L6" s="9">
        <v>0</v>
      </c>
      <c r="M6" s="10">
        <v>0</v>
      </c>
      <c r="N6" s="18">
        <v>0</v>
      </c>
    </row>
    <row r="7" spans="1:14" x14ac:dyDescent="0.2">
      <c r="A7" s="5" t="s">
        <v>53</v>
      </c>
      <c r="B7" s="9">
        <v>1</v>
      </c>
      <c r="C7">
        <v>1</v>
      </c>
      <c r="D7">
        <v>1</v>
      </c>
      <c r="E7" s="10">
        <v>1</v>
      </c>
      <c r="F7" s="9">
        <v>1</v>
      </c>
      <c r="G7">
        <v>1</v>
      </c>
      <c r="H7">
        <v>1</v>
      </c>
      <c r="I7">
        <v>1</v>
      </c>
      <c r="J7">
        <v>1</v>
      </c>
      <c r="K7" s="10">
        <v>1</v>
      </c>
      <c r="L7" s="9">
        <v>1</v>
      </c>
      <c r="M7" s="10">
        <v>1</v>
      </c>
      <c r="N7" s="18">
        <v>1</v>
      </c>
    </row>
    <row r="8" spans="1:14" x14ac:dyDescent="0.2">
      <c r="A8" s="5"/>
      <c r="B8" s="9"/>
      <c r="E8" s="10"/>
      <c r="F8" s="9"/>
      <c r="K8" s="10"/>
      <c r="L8" s="9"/>
      <c r="M8" s="10"/>
      <c r="N8" s="18"/>
    </row>
    <row r="9" spans="1:14" x14ac:dyDescent="0.2">
      <c r="A9" s="5" t="s">
        <v>55</v>
      </c>
      <c r="B9" s="11">
        <f>(SUMIF(Component_Specs!$C$2:$C$23,$A$3,Component_Specs!$E$2:$E$23)*B$3)
+(SUMIF(Component_Specs!$C$2:$C$23,$A$4,Component_Specs!$E$2:$E$23)*B$4)
+(SUMIF(Component_Specs!$C$2:$C$23,$A$5,Component_Specs!$E$2:$E$23)*B$5)
+(SUMIF(Component_Specs!$C$2:$C$23,$A$6,Component_Specs!$E$2:$E$23)*B$6)
+(SUMIF(Component_Specs!$C$2:$C$23,$A$7,Component_Specs!$E$2:$E$23)*B$7)</f>
        <v>17</v>
      </c>
      <c r="C9" s="1">
        <f>(SUMIF(Component_Specs!$C$2:$C$23,$A$3,Component_Specs!$E$2:$E$23)*C$3)
+(SUMIF(Component_Specs!$C$2:$C$23,$A$4,Component_Specs!$E$2:$E$23)*C$4)
+(SUMIF(Component_Specs!$C$2:$C$23,$A$5,Component_Specs!$E$2:$E$23)*C$5)
+(SUMIF(Component_Specs!$C$2:$C$23,$A$6,Component_Specs!$E$2:$E$23)*C$6)
+(SUMIF(Component_Specs!$C$2:$C$23,$A$7,Component_Specs!$E$2:$E$23)*C$7)</f>
        <v>32</v>
      </c>
      <c r="D9" s="1">
        <f>(SUMIF(Component_Specs!$C$2:$C$23,$A$3,Component_Specs!$E$2:$E$23)*D$3)
+(SUMIF(Component_Specs!$C$2:$C$23,$A$4,Component_Specs!$E$2:$E$23)*D$4)
+(SUMIF(Component_Specs!$C$2:$C$23,$A$5,Component_Specs!$E$2:$E$23)*D$5)
+(SUMIF(Component_Specs!$C$2:$C$23,$A$6,Component_Specs!$E$2:$E$23)*D$6)
+(SUMIF(Component_Specs!$C$2:$C$23,$A$7,Component_Specs!$E$2:$E$23)*D$7)</f>
        <v>25.8</v>
      </c>
      <c r="E9" s="12">
        <f>(SUMIF(Component_Specs!$C$2:$C$23,$A$3,Component_Specs!$E$2:$E$23)*E$3)
+(SUMIF(Component_Specs!$C$2:$C$23,$A$4,Component_Specs!$E$2:$E$23)*E$4)
+(SUMIF(Component_Specs!$C$2:$C$23,$A$5,Component_Specs!$E$2:$E$23)*E$5)
+(SUMIF(Component_Specs!$C$2:$C$23,$A$6,Component_Specs!$E$2:$E$23)*E$6)
+(SUMIF(Component_Specs!$C$2:$C$23,$A$7,Component_Specs!$E$2:$E$23)*E$7)</f>
        <v>17</v>
      </c>
      <c r="F9" s="11">
        <f>(SUMIF(Component_Specs!$C$2:$C$23,$A$3,Component_Specs!$E$2:$E$23)*F$3)
+(SUMIF(Component_Specs!$C$2:$C$23,$A$4,Component_Specs!$E$2:$E$23)*F$4)
+(SUMIF(Component_Specs!$C$2:$C$23,$A$5,Component_Specs!$E$2:$E$23)*F$5)
+(SUMIF(Component_Specs!$C$2:$C$23,$A$6,Component_Specs!$E$2:$E$23)*F$6)
+(SUMIF(Component_Specs!$C$2:$C$23,$A$7,Component_Specs!$E$2:$E$23)*F$7)</f>
        <v>17</v>
      </c>
      <c r="G9" s="1">
        <f>(SUMIF(Component_Specs!$C$2:$C$23,$A$3,Component_Specs!$E$2:$E$23)*G$3)
+(SUMIF(Component_Specs!$C$2:$C$23,$A$4,Component_Specs!$E$2:$E$23)*G$4)
+(SUMIF(Component_Specs!$C$2:$C$23,$A$5,Component_Specs!$E$2:$E$23)*G$5)
+(SUMIF(Component_Specs!$C$2:$C$23,$A$6,Component_Specs!$E$2:$E$23)*G$6)
+(SUMIF(Component_Specs!$C$2:$C$23,$A$7,Component_Specs!$E$2:$E$23)*G$7)</f>
        <v>14.09</v>
      </c>
      <c r="H9" s="1">
        <f>(SUMIF(Component_Specs!$C$2:$C$23,$A$3,Component_Specs!$E$2:$E$23)*H$3)
+(SUMIF(Component_Specs!$C$2:$C$23,$A$4,Component_Specs!$E$2:$E$23)*H$4)
+(SUMIF(Component_Specs!$C$2:$C$23,$A$5,Component_Specs!$E$2:$E$23)*H$5)
+(SUMIF(Component_Specs!$C$2:$C$23,$A$6,Component_Specs!$E$2:$E$23)*H$6)
+(SUMIF(Component_Specs!$C$2:$C$23,$A$7,Component_Specs!$E$2:$E$23)*H$7)</f>
        <v>18.115000000000002</v>
      </c>
      <c r="I9" s="1">
        <f>(SUMIF(Component_Specs!$C$2:$C$23,$A$3,Component_Specs!$E$2:$E$23)*I$3)
+(SUMIF(Component_Specs!$C$2:$C$23,$A$4,Component_Specs!$E$2:$E$23)*I$4)
+(SUMIF(Component_Specs!$C$2:$C$23,$A$5,Component_Specs!$E$2:$E$23)*I$5)
+(SUMIF(Component_Specs!$C$2:$C$23,$A$6,Component_Specs!$E$2:$E$23)*I$6)
+(SUMIF(Component_Specs!$C$2:$C$23,$A$7,Component_Specs!$E$2:$E$23)*I$7)</f>
        <v>14.09</v>
      </c>
      <c r="J9" s="1">
        <f>(SUMIF(Component_Specs!$C$2:$C$23,$A$3,Component_Specs!$E$2:$E$23)*J$3)
+(SUMIF(Component_Specs!$C$2:$C$23,$A$4,Component_Specs!$E$2:$E$23)*J$4)
+(SUMIF(Component_Specs!$C$2:$C$23,$A$5,Component_Specs!$E$2:$E$23)*J$5)
+(SUMIF(Component_Specs!$C$2:$C$23,$A$6,Component_Specs!$E$2:$E$23)*J$6)
+(SUMIF(Component_Specs!$C$2:$C$23,$A$7,Component_Specs!$E$2:$E$23)*J$7)</f>
        <v>18.115000000000002</v>
      </c>
      <c r="K9" s="12">
        <f>(SUMIF(Component_Specs!$C$2:$C$23,$A$3,Component_Specs!$E$2:$E$23)*K$3)
+(SUMIF(Component_Specs!$C$2:$C$23,$A$4,Component_Specs!$E$2:$E$23)*K$4)
+(SUMIF(Component_Specs!$C$2:$C$23,$A$5,Component_Specs!$E$2:$E$23)*K$5)
+(SUMIF(Component_Specs!$C$2:$C$23,$A$6,Component_Specs!$E$2:$E$23)*K$6)
+(SUMIF(Component_Specs!$C$2:$C$23,$A$7,Component_Specs!$E$2:$E$23)*K$7)</f>
        <v>14.09</v>
      </c>
      <c r="L9" s="11">
        <f>(SUMIF(Component_Specs!$C$2:$C$23,$A$3,Component_Specs!$E$2:$E$23)*L$3)
+(SUMIF(Component_Specs!$C$2:$C$23,$A$4,Component_Specs!$E$2:$E$23)*L$4)
+(SUMIF(Component_Specs!$C$2:$C$23,$A$5,Component_Specs!$E$2:$E$23)*L$5)
+(SUMIF(Component_Specs!$C$2:$C$23,$A$6,Component_Specs!$E$2:$E$23)*L$6)
+(SUMIF(Component_Specs!$C$2:$C$23,$A$7,Component_Specs!$E$2:$E$23)*L$7)</f>
        <v>18.115000000000002</v>
      </c>
      <c r="M9" s="12">
        <f>(SUMIF(Component_Specs!$C$2:$C$23,$A$3,Component_Specs!$E$2:$E$23)*M$3)
+(SUMIF(Component_Specs!$C$2:$C$23,$A$4,Component_Specs!$E$2:$E$23)*M$4)
+(SUMIF(Component_Specs!$C$2:$C$23,$A$5,Component_Specs!$E$2:$E$23)*M$5)
+(SUMIF(Component_Specs!$C$2:$C$23,$A$6,Component_Specs!$E$2:$E$23)*M$6)
+(SUMIF(Component_Specs!$C$2:$C$23,$A$7,Component_Specs!$E$2:$E$23)*M$7)</f>
        <v>14.09</v>
      </c>
      <c r="N9" s="19">
        <f>(SUMIF(Component_Specs!$C$2:$C$23,$A$3,Component_Specs!$E$2:$E$23)*N$3)
+(SUMIF(Component_Specs!$C$2:$C$23,$A$4,Component_Specs!$E$2:$E$23)*N$4)
+(SUMIF(Component_Specs!$C$2:$C$23,$A$5,Component_Specs!$E$2:$E$23)*N$5)
+(SUMIF(Component_Specs!$C$2:$C$23,$A$6,Component_Specs!$E$2:$E$23)*N$6)
+(SUMIF(Component_Specs!$C$2:$C$23,$A$7,Component_Specs!$E$2:$E$23)*N$7)</f>
        <v>17</v>
      </c>
    </row>
    <row r="10" spans="1:14" x14ac:dyDescent="0.2">
      <c r="A10" s="5" t="s">
        <v>56</v>
      </c>
      <c r="B10" s="11">
        <f>(SUMIF(Component_Specs!$C$2:$C$23,$A$3,Component_Specs!$F$2:$F$23)*B$3)
+(SUMIF(Component_Specs!$C$2:$C$23,$A$4,Component_Specs!$F$2:$F$23)*B$4)
+(SUMIF(Component_Specs!$C$2:$C$23,$A$5,Component_Specs!$F$2:$F$23)*B$5)
+(SUMIF(Component_Specs!$C$2:$C$23,$A$6,Component_Specs!$F$2:$F$23)*B$6)
+(SUMIF(Component_Specs!$C$2:$C$23,$A$7,Component_Specs!$F$2:$F$23)*B$7)</f>
        <v>358.3</v>
      </c>
      <c r="C10" s="1">
        <f>(SUMIF(Component_Specs!$C$2:$C$23,$A$3,Component_Specs!$F$2:$F$23)*C$3)
+(SUMIF(Component_Specs!$C$2:$C$23,$A$4,Component_Specs!$F$2:$F$23)*C$4)
+(SUMIF(Component_Specs!$C$2:$C$23,$A$5,Component_Specs!$F$2:$F$23)*C$5)
+(SUMIF(Component_Specs!$C$2:$C$23,$A$6,Component_Specs!$F$2:$F$23)*C$6)
+(SUMIF(Component_Specs!$C$2:$C$23,$A$7,Component_Specs!$F$2:$F$23)*C$7)</f>
        <v>681.14999999999986</v>
      </c>
      <c r="D10" s="1">
        <f>(SUMIF(Component_Specs!$C$2:$C$23,$A$3,Component_Specs!$F$2:$F$23)*D$3)
+(SUMIF(Component_Specs!$C$2:$C$23,$A$4,Component_Specs!$F$2:$F$23)*D$4)
+(SUMIF(Component_Specs!$C$2:$C$23,$A$5,Component_Specs!$F$2:$F$23)*D$5)
+(SUMIF(Component_Specs!$C$2:$C$23,$A$6,Component_Specs!$F$2:$F$23)*D$6)
+(SUMIF(Component_Specs!$C$2:$C$23,$A$7,Component_Specs!$F$2:$F$23)*D$7)</f>
        <v>495.19999999999993</v>
      </c>
      <c r="E10" s="12">
        <f>(SUMIF(Component_Specs!$C$2:$C$23,$A$3,Component_Specs!$F$2:$F$23)*E$3)
+(SUMIF(Component_Specs!$C$2:$C$23,$A$4,Component_Specs!$F$2:$F$23)*E$4)
+(SUMIF(Component_Specs!$C$2:$C$23,$A$5,Component_Specs!$F$2:$F$23)*E$5)
+(SUMIF(Component_Specs!$C$2:$C$23,$A$6,Component_Specs!$F$2:$F$23)*E$6)
+(SUMIF(Component_Specs!$C$2:$C$23,$A$7,Component_Specs!$F$2:$F$23)*E$7)</f>
        <v>358.3</v>
      </c>
      <c r="F10" s="11">
        <f>(SUMIF(Component_Specs!$C$2:$C$23,$A$3,Component_Specs!$F$2:$F$23)*F$3)
+(SUMIF(Component_Specs!$C$2:$C$23,$A$4,Component_Specs!$F$2:$F$23)*F$4)
+(SUMIF(Component_Specs!$C$2:$C$23,$A$5,Component_Specs!$F$2:$F$23)*F$5)
+(SUMIF(Component_Specs!$C$2:$C$23,$A$6,Component_Specs!$F$2:$F$23)*F$6)
+(SUMIF(Component_Specs!$C$2:$C$23,$A$7,Component_Specs!$F$2:$F$23)*F$7)</f>
        <v>358.3</v>
      </c>
      <c r="G10" s="1">
        <f>(SUMIF(Component_Specs!$C$2:$C$23,$A$3,Component_Specs!$F$2:$F$23)*G$3)
+(SUMIF(Component_Specs!$C$2:$C$23,$A$4,Component_Specs!$F$2:$F$23)*G$4)
+(SUMIF(Component_Specs!$C$2:$C$23,$A$5,Component_Specs!$F$2:$F$23)*G$5)
+(SUMIF(Component_Specs!$C$2:$C$23,$A$6,Component_Specs!$F$2:$F$23)*G$6)
+(SUMIF(Component_Specs!$C$2:$C$23,$A$7,Component_Specs!$F$2:$F$23)*G$7)</f>
        <v>288.46000000000004</v>
      </c>
      <c r="H10" s="1">
        <f>(SUMIF(Component_Specs!$C$2:$C$23,$A$3,Component_Specs!$F$2:$F$23)*H$3)
+(SUMIF(Component_Specs!$C$2:$C$23,$A$4,Component_Specs!$F$2:$F$23)*H$4)
+(SUMIF(Component_Specs!$C$2:$C$23,$A$5,Component_Specs!$F$2:$F$23)*H$5)
+(SUMIF(Component_Specs!$C$2:$C$23,$A$6,Component_Specs!$F$2:$F$23)*H$6)
+(SUMIF(Component_Specs!$C$2:$C$23,$A$7,Component_Specs!$F$2:$F$23)*H$7)</f>
        <v>385.06</v>
      </c>
      <c r="I10" s="1">
        <f>(SUMIF(Component_Specs!$C$2:$C$23,$A$3,Component_Specs!$F$2:$F$23)*I$3)
+(SUMIF(Component_Specs!$C$2:$C$23,$A$4,Component_Specs!$F$2:$F$23)*I$4)
+(SUMIF(Component_Specs!$C$2:$C$23,$A$5,Component_Specs!$F$2:$F$23)*I$5)
+(SUMIF(Component_Specs!$C$2:$C$23,$A$6,Component_Specs!$F$2:$F$23)*I$6)
+(SUMIF(Component_Specs!$C$2:$C$23,$A$7,Component_Specs!$F$2:$F$23)*I$7)</f>
        <v>288.46000000000004</v>
      </c>
      <c r="J10" s="1">
        <f>(SUMIF(Component_Specs!$C$2:$C$23,$A$3,Component_Specs!$F$2:$F$23)*J$3)
+(SUMIF(Component_Specs!$C$2:$C$23,$A$4,Component_Specs!$F$2:$F$23)*J$4)
+(SUMIF(Component_Specs!$C$2:$C$23,$A$5,Component_Specs!$F$2:$F$23)*J$5)
+(SUMIF(Component_Specs!$C$2:$C$23,$A$6,Component_Specs!$F$2:$F$23)*J$6)
+(SUMIF(Component_Specs!$C$2:$C$23,$A$7,Component_Specs!$F$2:$F$23)*J$7)</f>
        <v>385.06</v>
      </c>
      <c r="K10" s="12">
        <f>(SUMIF(Component_Specs!$C$2:$C$23,$A$3,Component_Specs!$F$2:$F$23)*K$3)
+(SUMIF(Component_Specs!$C$2:$C$23,$A$4,Component_Specs!$F$2:$F$23)*K$4)
+(SUMIF(Component_Specs!$C$2:$C$23,$A$5,Component_Specs!$F$2:$F$23)*K$5)
+(SUMIF(Component_Specs!$C$2:$C$23,$A$6,Component_Specs!$F$2:$F$23)*K$6)
+(SUMIF(Component_Specs!$C$2:$C$23,$A$7,Component_Specs!$F$2:$F$23)*K$7)</f>
        <v>288.46000000000004</v>
      </c>
      <c r="L10" s="11">
        <f>(SUMIF(Component_Specs!$C$2:$C$23,$A$3,Component_Specs!$F$2:$F$23)*L$3)
+(SUMIF(Component_Specs!$C$2:$C$23,$A$4,Component_Specs!$F$2:$F$23)*L$4)
+(SUMIF(Component_Specs!$C$2:$C$23,$A$5,Component_Specs!$F$2:$F$23)*L$5)
+(SUMIF(Component_Specs!$C$2:$C$23,$A$6,Component_Specs!$F$2:$F$23)*L$6)
+(SUMIF(Component_Specs!$C$2:$C$23,$A$7,Component_Specs!$F$2:$F$23)*L$7)</f>
        <v>385.06</v>
      </c>
      <c r="M10" s="12">
        <f>(SUMIF(Component_Specs!$C$2:$C$23,$A$3,Component_Specs!$F$2:$F$23)*M$3)
+(SUMIF(Component_Specs!$C$2:$C$23,$A$4,Component_Specs!$F$2:$F$23)*M$4)
+(SUMIF(Component_Specs!$C$2:$C$23,$A$5,Component_Specs!$F$2:$F$23)*M$5)
+(SUMIF(Component_Specs!$C$2:$C$23,$A$6,Component_Specs!$F$2:$F$23)*M$6)
+(SUMIF(Component_Specs!$C$2:$C$23,$A$7,Component_Specs!$F$2:$F$23)*M$7)</f>
        <v>288.46000000000004</v>
      </c>
      <c r="N10" s="19">
        <f>(SUMIF(Component_Specs!$C$2:$C$23,$A$3,Component_Specs!$F$2:$F$23)*N$3)
+(SUMIF(Component_Specs!$C$2:$C$23,$A$4,Component_Specs!$F$2:$F$23)*N$4)
+(SUMIF(Component_Specs!$C$2:$C$23,$A$5,Component_Specs!$F$2:$F$23)*N$5)
+(SUMIF(Component_Specs!$C$2:$C$23,$A$6,Component_Specs!$F$2:$F$23)*N$6)
+(SUMIF(Component_Specs!$C$2:$C$23,$A$7,Component_Specs!$F$2:$F$23)*N$7)</f>
        <v>358.3</v>
      </c>
    </row>
    <row r="11" spans="1:14" x14ac:dyDescent="0.2">
      <c r="A11" s="5" t="s">
        <v>57</v>
      </c>
      <c r="B11" s="11">
        <f>(SUMIF(Component_Specs!$C$2:$C$23,$A$3,Component_Specs!$G$2:$G$23)*B$3)
+(SUMIF(Component_Specs!$C$2:$C$23,$A$4,Component_Specs!$G$2:$G$23)*B$4)
+(SUMIF(Component_Specs!$C$2:$C$23,$A$5,Component_Specs!$G$2:$G$23)*B$5)
+(SUMIF(Component_Specs!$C$2:$C$23,$A$6,Component_Specs!$G$2:$G$23)*B$6)
+(SUMIF(Component_Specs!$C$2:$C$23,$A$7,Component_Specs!$G$2:$G$23)*B$7)</f>
        <v>132</v>
      </c>
      <c r="C11" s="1">
        <f>(SUMIF(Component_Specs!$C$2:$C$23,$A$3,Component_Specs!$G$2:$G$23)*C$3)
+(SUMIF(Component_Specs!$C$2:$C$23,$A$4,Component_Specs!$G$2:$G$23)*C$4)
+(SUMIF(Component_Specs!$C$2:$C$23,$A$5,Component_Specs!$G$2:$G$23)*C$5)
+(SUMIF(Component_Specs!$C$2:$C$23,$A$6,Component_Specs!$G$2:$G$23)*C$6)
+(SUMIF(Component_Specs!$C$2:$C$23,$A$7,Component_Specs!$G$2:$G$23)*C$7)</f>
        <v>73.5</v>
      </c>
      <c r="D11" s="1">
        <f>(SUMIF(Component_Specs!$C$2:$C$23,$A$3,Component_Specs!$G$2:$G$23)*D$3)
+(SUMIF(Component_Specs!$C$2:$C$23,$A$4,Component_Specs!$G$2:$G$23)*D$4)
+(SUMIF(Component_Specs!$C$2:$C$23,$A$5,Component_Specs!$G$2:$G$23)*D$5)
+(SUMIF(Component_Specs!$C$2:$C$23,$A$6,Component_Specs!$G$2:$G$23)*D$6)
+(SUMIF(Component_Specs!$C$2:$C$23,$A$7,Component_Specs!$G$2:$G$23)*D$7)</f>
        <v>63</v>
      </c>
      <c r="E11" s="12">
        <f>(SUMIF(Component_Specs!$C$2:$C$23,$A$3,Component_Specs!$G$2:$G$23)*E$3)
+(SUMIF(Component_Specs!$C$2:$C$23,$A$4,Component_Specs!$G$2:$G$23)*E$4)
+(SUMIF(Component_Specs!$C$2:$C$23,$A$5,Component_Specs!$G$2:$G$23)*E$5)
+(SUMIF(Component_Specs!$C$2:$C$23,$A$6,Component_Specs!$G$2:$G$23)*E$6)
+(SUMIF(Component_Specs!$C$2:$C$23,$A$7,Component_Specs!$G$2:$G$23)*E$7)</f>
        <v>132</v>
      </c>
      <c r="F11" s="11">
        <f>(SUMIF(Component_Specs!$C$2:$C$23,$A$3,Component_Specs!$G$2:$G$23)*F$3)
+(SUMIF(Component_Specs!$C$2:$C$23,$A$4,Component_Specs!$G$2:$G$23)*F$4)
+(SUMIF(Component_Specs!$C$2:$C$23,$A$5,Component_Specs!$G$2:$G$23)*F$5)
+(SUMIF(Component_Specs!$C$2:$C$23,$A$6,Component_Specs!$G$2:$G$23)*F$6)
+(SUMIF(Component_Specs!$C$2:$C$23,$A$7,Component_Specs!$G$2:$G$23)*F$7)</f>
        <v>132</v>
      </c>
      <c r="G11" s="1">
        <f>(SUMIF(Component_Specs!$C$2:$C$23,$A$3,Component_Specs!$G$2:$G$23)*G$3)
+(SUMIF(Component_Specs!$C$2:$C$23,$A$4,Component_Specs!$G$2:$G$23)*G$4)
+(SUMIF(Component_Specs!$C$2:$C$23,$A$5,Component_Specs!$G$2:$G$23)*G$5)
+(SUMIF(Component_Specs!$C$2:$C$23,$A$6,Component_Specs!$G$2:$G$23)*G$6)
+(SUMIF(Component_Specs!$C$2:$C$23,$A$7,Component_Specs!$G$2:$G$23)*G$7)</f>
        <v>78</v>
      </c>
      <c r="H11" s="1">
        <f>(SUMIF(Component_Specs!$C$2:$C$23,$A$3,Component_Specs!$G$2:$G$23)*H$3)
+(SUMIF(Component_Specs!$C$2:$C$23,$A$4,Component_Specs!$G$2:$G$23)*H$4)
+(SUMIF(Component_Specs!$C$2:$C$23,$A$5,Component_Specs!$G$2:$G$23)*H$5)
+(SUMIF(Component_Specs!$C$2:$C$23,$A$6,Component_Specs!$G$2:$G$23)*H$6)
+(SUMIF(Component_Specs!$C$2:$C$23,$A$7,Component_Specs!$G$2:$G$23)*H$7)</f>
        <v>139</v>
      </c>
      <c r="I11" s="1">
        <f>(SUMIF(Component_Specs!$C$2:$C$23,$A$3,Component_Specs!$G$2:$G$23)*I$3)
+(SUMIF(Component_Specs!$C$2:$C$23,$A$4,Component_Specs!$G$2:$G$23)*I$4)
+(SUMIF(Component_Specs!$C$2:$C$23,$A$5,Component_Specs!$G$2:$G$23)*I$5)
+(SUMIF(Component_Specs!$C$2:$C$23,$A$6,Component_Specs!$G$2:$G$23)*I$6)
+(SUMIF(Component_Specs!$C$2:$C$23,$A$7,Component_Specs!$G$2:$G$23)*I$7)</f>
        <v>78</v>
      </c>
      <c r="J11" s="1">
        <f>(SUMIF(Component_Specs!$C$2:$C$23,$A$3,Component_Specs!$G$2:$G$23)*J$3)
+(SUMIF(Component_Specs!$C$2:$C$23,$A$4,Component_Specs!$G$2:$G$23)*J$4)
+(SUMIF(Component_Specs!$C$2:$C$23,$A$5,Component_Specs!$G$2:$G$23)*J$5)
+(SUMIF(Component_Specs!$C$2:$C$23,$A$6,Component_Specs!$G$2:$G$23)*J$6)
+(SUMIF(Component_Specs!$C$2:$C$23,$A$7,Component_Specs!$G$2:$G$23)*J$7)</f>
        <v>139</v>
      </c>
      <c r="K11" s="12">
        <f>(SUMIF(Component_Specs!$C$2:$C$23,$A$3,Component_Specs!$G$2:$G$23)*K$3)
+(SUMIF(Component_Specs!$C$2:$C$23,$A$4,Component_Specs!$G$2:$G$23)*K$4)
+(SUMIF(Component_Specs!$C$2:$C$23,$A$5,Component_Specs!$G$2:$G$23)*K$5)
+(SUMIF(Component_Specs!$C$2:$C$23,$A$6,Component_Specs!$G$2:$G$23)*K$6)
+(SUMIF(Component_Specs!$C$2:$C$23,$A$7,Component_Specs!$G$2:$G$23)*K$7)</f>
        <v>78</v>
      </c>
      <c r="L11" s="11">
        <f>(SUMIF(Component_Specs!$C$2:$C$23,$A$3,Component_Specs!$G$2:$G$23)*L$3)
+(SUMIF(Component_Specs!$C$2:$C$23,$A$4,Component_Specs!$G$2:$G$23)*L$4)
+(SUMIF(Component_Specs!$C$2:$C$23,$A$5,Component_Specs!$G$2:$G$23)*L$5)
+(SUMIF(Component_Specs!$C$2:$C$23,$A$6,Component_Specs!$G$2:$G$23)*L$6)
+(SUMIF(Component_Specs!$C$2:$C$23,$A$7,Component_Specs!$G$2:$G$23)*L$7)</f>
        <v>139</v>
      </c>
      <c r="M11" s="12">
        <f>(SUMIF(Component_Specs!$C$2:$C$23,$A$3,Component_Specs!$G$2:$G$23)*M$3)
+(SUMIF(Component_Specs!$C$2:$C$23,$A$4,Component_Specs!$G$2:$G$23)*M$4)
+(SUMIF(Component_Specs!$C$2:$C$23,$A$5,Component_Specs!$G$2:$G$23)*M$5)
+(SUMIF(Component_Specs!$C$2:$C$23,$A$6,Component_Specs!$G$2:$G$23)*M$6)
+(SUMIF(Component_Specs!$C$2:$C$23,$A$7,Component_Specs!$G$2:$G$23)*M$7)</f>
        <v>78</v>
      </c>
      <c r="N11" s="19">
        <f>(SUMIF(Component_Specs!$C$2:$C$23,$A$3,Component_Specs!$G$2:$G$23)*N$3)
+(SUMIF(Component_Specs!$C$2:$C$23,$A$4,Component_Specs!$G$2:$G$23)*N$4)
+(SUMIF(Component_Specs!$C$2:$C$23,$A$5,Component_Specs!$G$2:$G$23)*N$5)
+(SUMIF(Component_Specs!$C$2:$C$23,$A$6,Component_Specs!$G$2:$G$23)*N$6)
+(SUMIF(Component_Specs!$C$2:$C$23,$A$7,Component_Specs!$G$2:$G$23)*N$7)</f>
        <v>132</v>
      </c>
    </row>
    <row r="12" spans="1:14" x14ac:dyDescent="0.2">
      <c r="A12" s="5" t="s">
        <v>58</v>
      </c>
      <c r="B12" s="11">
        <f>(SUMIF(Component_Specs!$C$2:$C$23,$A$3,Component_Specs!$H$2:$H$23)*B$3)
+(SUMIF(Component_Specs!$C$2:$C$23,$A$4,Component_Specs!$H$2:$H$23)*B$4)
+(SUMIF(Component_Specs!$C$2:$C$23,$A$5,Component_Specs!$H$2:$H$23)*B$5)
+(SUMIF(Component_Specs!$C$2:$C$23,$A$6,Component_Specs!$H$2:$H$23)*B$6)
+(SUMIF(Component_Specs!$C$2:$C$23,$A$7,Component_Specs!$H$2:$H$23)*B$7)</f>
        <v>3016.6</v>
      </c>
      <c r="C12" s="1">
        <f>(SUMIF(Component_Specs!$C$2:$C$23,$A$3,Component_Specs!$H$2:$H$23)*C$3)
+(SUMIF(Component_Specs!$C$2:$C$23,$A$4,Component_Specs!$H$2:$H$23)*C$4)
+(SUMIF(Component_Specs!$C$2:$C$23,$A$5,Component_Specs!$H$2:$H$23)*C$5)
+(SUMIF(Component_Specs!$C$2:$C$23,$A$6,Component_Specs!$H$2:$H$23)*C$6)
+(SUMIF(Component_Specs!$C$2:$C$23,$A$7,Component_Specs!$H$2:$H$23)*C$7)</f>
        <v>1540.35</v>
      </c>
      <c r="D12" s="1">
        <f>(SUMIF(Component_Specs!$C$2:$C$23,$A$3,Component_Specs!$H$2:$H$23)*D$3)
+(SUMIF(Component_Specs!$C$2:$C$23,$A$4,Component_Specs!$H$2:$H$23)*D$4)
+(SUMIF(Component_Specs!$C$2:$C$23,$A$5,Component_Specs!$H$2:$H$23)*D$5)
+(SUMIF(Component_Specs!$C$2:$C$23,$A$6,Component_Specs!$H$2:$H$23)*D$6)
+(SUMIF(Component_Specs!$C$2:$C$23,$A$7,Component_Specs!$H$2:$H$23)*D$7)</f>
        <v>1216.0999999999999</v>
      </c>
      <c r="E12" s="12">
        <f>(SUMIF(Component_Specs!$C$2:$C$23,$A$3,Component_Specs!$H$2:$H$23)*E$3)
+(SUMIF(Component_Specs!$C$2:$C$23,$A$4,Component_Specs!$H$2:$H$23)*E$4)
+(SUMIF(Component_Specs!$C$2:$C$23,$A$5,Component_Specs!$H$2:$H$23)*E$5)
+(SUMIF(Component_Specs!$C$2:$C$23,$A$6,Component_Specs!$H$2:$H$23)*E$6)
+(SUMIF(Component_Specs!$C$2:$C$23,$A$7,Component_Specs!$H$2:$H$23)*E$7)</f>
        <v>3016.6</v>
      </c>
      <c r="F12" s="11">
        <f>(SUMIF(Component_Specs!$C$2:$C$23,$A$3,Component_Specs!$H$2:$H$23)*F$3)
+(SUMIF(Component_Specs!$C$2:$C$23,$A$4,Component_Specs!$H$2:$H$23)*F$4)
+(SUMIF(Component_Specs!$C$2:$C$23,$A$5,Component_Specs!$H$2:$H$23)*F$5)
+(SUMIF(Component_Specs!$C$2:$C$23,$A$6,Component_Specs!$H$2:$H$23)*F$6)
+(SUMIF(Component_Specs!$C$2:$C$23,$A$7,Component_Specs!$H$2:$H$23)*F$7)</f>
        <v>3016.6</v>
      </c>
      <c r="G12" s="1">
        <f>(SUMIF(Component_Specs!$C$2:$C$23,$A$3,Component_Specs!$H$2:$H$23)*G$3)
+(SUMIF(Component_Specs!$C$2:$C$23,$A$4,Component_Specs!$H$2:$H$23)*G$4)
+(SUMIF(Component_Specs!$C$2:$C$23,$A$5,Component_Specs!$H$2:$H$23)*G$5)
+(SUMIF(Component_Specs!$C$2:$C$23,$A$6,Component_Specs!$H$2:$H$23)*G$6)
+(SUMIF(Component_Specs!$C$2:$C$23,$A$7,Component_Specs!$H$2:$H$23)*G$7)</f>
        <v>1720.6</v>
      </c>
      <c r="H12" s="1">
        <f>(SUMIF(Component_Specs!$C$2:$C$23,$A$3,Component_Specs!$H$2:$H$23)*H$3)
+(SUMIF(Component_Specs!$C$2:$C$23,$A$4,Component_Specs!$H$2:$H$23)*H$4)
+(SUMIF(Component_Specs!$C$2:$C$23,$A$5,Component_Specs!$H$2:$H$23)*H$5)
+(SUMIF(Component_Specs!$C$2:$C$23,$A$6,Component_Specs!$H$2:$H$23)*H$6)
+(SUMIF(Component_Specs!$C$2:$C$23,$A$7,Component_Specs!$H$2:$H$23)*H$7)</f>
        <v>3184.6</v>
      </c>
      <c r="I12" s="1">
        <f>(SUMIF(Component_Specs!$C$2:$C$23,$A$3,Component_Specs!$H$2:$H$23)*I$3)
+(SUMIF(Component_Specs!$C$2:$C$23,$A$4,Component_Specs!$H$2:$H$23)*I$4)
+(SUMIF(Component_Specs!$C$2:$C$23,$A$5,Component_Specs!$H$2:$H$23)*I$5)
+(SUMIF(Component_Specs!$C$2:$C$23,$A$6,Component_Specs!$H$2:$H$23)*I$6)
+(SUMIF(Component_Specs!$C$2:$C$23,$A$7,Component_Specs!$H$2:$H$23)*I$7)</f>
        <v>1720.6</v>
      </c>
      <c r="J12" s="1">
        <f>(SUMIF(Component_Specs!$C$2:$C$23,$A$3,Component_Specs!$H$2:$H$23)*J$3)
+(SUMIF(Component_Specs!$C$2:$C$23,$A$4,Component_Specs!$H$2:$H$23)*J$4)
+(SUMIF(Component_Specs!$C$2:$C$23,$A$5,Component_Specs!$H$2:$H$23)*J$5)
+(SUMIF(Component_Specs!$C$2:$C$23,$A$6,Component_Specs!$H$2:$H$23)*J$6)
+(SUMIF(Component_Specs!$C$2:$C$23,$A$7,Component_Specs!$H$2:$H$23)*J$7)</f>
        <v>3184.6</v>
      </c>
      <c r="K12" s="12">
        <f>(SUMIF(Component_Specs!$C$2:$C$23,$A$3,Component_Specs!$H$2:$H$23)*K$3)
+(SUMIF(Component_Specs!$C$2:$C$23,$A$4,Component_Specs!$H$2:$H$23)*K$4)
+(SUMIF(Component_Specs!$C$2:$C$23,$A$5,Component_Specs!$H$2:$H$23)*K$5)
+(SUMIF(Component_Specs!$C$2:$C$23,$A$6,Component_Specs!$H$2:$H$23)*K$6)
+(SUMIF(Component_Specs!$C$2:$C$23,$A$7,Component_Specs!$H$2:$H$23)*K$7)</f>
        <v>1720.6</v>
      </c>
      <c r="L12" s="11">
        <f>(SUMIF(Component_Specs!$C$2:$C$23,$A$3,Component_Specs!$H$2:$H$23)*L$3)
+(SUMIF(Component_Specs!$C$2:$C$23,$A$4,Component_Specs!$H$2:$H$23)*L$4)
+(SUMIF(Component_Specs!$C$2:$C$23,$A$5,Component_Specs!$H$2:$H$23)*L$5)
+(SUMIF(Component_Specs!$C$2:$C$23,$A$6,Component_Specs!$H$2:$H$23)*L$6)
+(SUMIF(Component_Specs!$C$2:$C$23,$A$7,Component_Specs!$H$2:$H$23)*L$7)</f>
        <v>3184.6</v>
      </c>
      <c r="M12" s="12">
        <f>(SUMIF(Component_Specs!$C$2:$C$23,$A$3,Component_Specs!$H$2:$H$23)*M$3)
+(SUMIF(Component_Specs!$C$2:$C$23,$A$4,Component_Specs!$H$2:$H$23)*M$4)
+(SUMIF(Component_Specs!$C$2:$C$23,$A$5,Component_Specs!$H$2:$H$23)*M$5)
+(SUMIF(Component_Specs!$C$2:$C$23,$A$6,Component_Specs!$H$2:$H$23)*M$6)
+(SUMIF(Component_Specs!$C$2:$C$23,$A$7,Component_Specs!$H$2:$H$23)*M$7)</f>
        <v>1720.6</v>
      </c>
      <c r="N12" s="19">
        <f>(SUMIF(Component_Specs!$C$2:$C$23,$A$3,Component_Specs!$H$2:$H$23)*N$3)
+(SUMIF(Component_Specs!$C$2:$C$23,$A$4,Component_Specs!$H$2:$H$23)*N$4)
+(SUMIF(Component_Specs!$C$2:$C$23,$A$5,Component_Specs!$H$2:$H$23)*N$5)
+(SUMIF(Component_Specs!$C$2:$C$23,$A$6,Component_Specs!$H$2:$H$23)*N$6)
+(SUMIF(Component_Specs!$C$2:$C$23,$A$7,Component_Specs!$H$2:$H$23)*N$7)</f>
        <v>3016.6</v>
      </c>
    </row>
    <row r="13" spans="1:14" x14ac:dyDescent="0.2">
      <c r="A13" s="5"/>
      <c r="B13" s="9"/>
      <c r="E13" s="10"/>
      <c r="F13" s="9"/>
      <c r="K13" s="10"/>
      <c r="L13" s="9"/>
      <c r="M13" s="10"/>
      <c r="N13" s="18"/>
    </row>
    <row r="14" spans="1:14" x14ac:dyDescent="0.2">
      <c r="A14" s="4" t="s">
        <v>61</v>
      </c>
      <c r="B14" s="23">
        <f>B9*Mission_Phases!$B3/60</f>
        <v>1.4166666666666667</v>
      </c>
      <c r="C14" s="24">
        <f>C9*Mission_Phases!$B4/60</f>
        <v>5.333333333333333</v>
      </c>
      <c r="D14" s="24">
        <f>D9*Mission_Phases!$B5/60</f>
        <v>4.3</v>
      </c>
      <c r="E14" s="25">
        <f>E9*Mission_Phases!$B6/60</f>
        <v>1.4166666666666667</v>
      </c>
      <c r="F14" s="23">
        <f>F9*Mission_Phases!$B9/60</f>
        <v>2.8333333333333335</v>
      </c>
      <c r="G14" s="24">
        <f>G9*Mission_Phases!$B10/60</f>
        <v>2.3483333333333336</v>
      </c>
      <c r="H14" s="24">
        <f>H9*Mission_Phases!$B11/60</f>
        <v>3.0191666666666674</v>
      </c>
      <c r="I14" s="24">
        <f>I9*Mission_Phases!$B12/60</f>
        <v>2.3483333333333336</v>
      </c>
      <c r="J14" s="24">
        <f>J9*Mission_Phases!$B13/60</f>
        <v>3.0191666666666674</v>
      </c>
      <c r="K14" s="25">
        <f>K9*Mission_Phases!$B14/60</f>
        <v>2.3483333333333336</v>
      </c>
      <c r="L14" s="23">
        <f>L9*Mission_Phases!$B17/60</f>
        <v>1.5095833333333337</v>
      </c>
      <c r="M14" s="25">
        <f>M9*Mission_Phases!$B18/60</f>
        <v>5.8708333333333336</v>
      </c>
      <c r="N14" s="26">
        <f>N9*Mission_Phases!$B21/60</f>
        <v>8.5</v>
      </c>
    </row>
    <row r="15" spans="1:14" x14ac:dyDescent="0.2">
      <c r="A15" s="5" t="s">
        <v>59</v>
      </c>
      <c r="B15" s="11">
        <f>B10*Mission_Phases!B3/60</f>
        <v>29.858333333333334</v>
      </c>
      <c r="C15" s="1">
        <f>C10*Mission_Phases!B4/60</f>
        <v>113.52499999999996</v>
      </c>
      <c r="D15" s="1">
        <f>D10*Mission_Phases!B5/60</f>
        <v>82.533333333333317</v>
      </c>
      <c r="E15" s="12">
        <f>E10*Mission_Phases!B6/60</f>
        <v>29.858333333333334</v>
      </c>
      <c r="F15" s="11">
        <f>F10*Mission_Phases!B9/60</f>
        <v>59.716666666666669</v>
      </c>
      <c r="G15" s="1">
        <f>G10*Mission_Phases!$B10/60</f>
        <v>48.076666666666675</v>
      </c>
      <c r="H15" s="1">
        <f>H10*Mission_Phases!$B11/60</f>
        <v>64.176666666666662</v>
      </c>
      <c r="I15" s="1">
        <f>I10*Mission_Phases!$B12/60</f>
        <v>48.076666666666675</v>
      </c>
      <c r="J15" s="1">
        <f>J10*Mission_Phases!$B13/60</f>
        <v>64.176666666666662</v>
      </c>
      <c r="K15" s="12">
        <f>K10*Mission_Phases!$B14/60</f>
        <v>48.076666666666675</v>
      </c>
      <c r="L15" s="11">
        <f>L10*Mission_Phases!$B17/60</f>
        <v>32.088333333333331</v>
      </c>
      <c r="M15" s="12">
        <f>M10*Mission_Phases!$B18/60</f>
        <v>120.19166666666668</v>
      </c>
      <c r="N15" s="19">
        <f>N10*Mission_Phases!$B21/60</f>
        <v>179.15</v>
      </c>
    </row>
    <row r="16" spans="1:14" x14ac:dyDescent="0.2">
      <c r="A16" s="5" t="s">
        <v>62</v>
      </c>
      <c r="B16" s="11">
        <f>SUM(B15:E15)</f>
        <v>255.77499999999998</v>
      </c>
      <c r="C16" s="1"/>
      <c r="D16" s="1"/>
      <c r="E16" s="12"/>
      <c r="F16" s="11">
        <f>SUM(F15:K15)</f>
        <v>332.3</v>
      </c>
      <c r="G16" s="1"/>
      <c r="H16" s="1"/>
      <c r="I16" s="1"/>
      <c r="J16" s="1"/>
      <c r="K16" s="12"/>
      <c r="L16" s="11">
        <f>SUM(L15:M15)</f>
        <v>152.28</v>
      </c>
      <c r="M16" s="12"/>
      <c r="N16" s="19">
        <f>N15</f>
        <v>179.15</v>
      </c>
    </row>
    <row r="17" spans="1:14" x14ac:dyDescent="0.2">
      <c r="A17" s="6" t="s">
        <v>63</v>
      </c>
      <c r="B17" s="13">
        <f>SUM(B14:E14)</f>
        <v>12.466666666666667</v>
      </c>
      <c r="C17" s="20"/>
      <c r="D17" s="20"/>
      <c r="E17" s="21"/>
      <c r="F17" s="13">
        <f>SUM(F14:K14)</f>
        <v>15.916666666666668</v>
      </c>
      <c r="G17" s="20"/>
      <c r="H17" s="20"/>
      <c r="I17" s="20"/>
      <c r="J17" s="20"/>
      <c r="K17" s="21"/>
      <c r="L17" s="13">
        <f>SUM(L14:M14)</f>
        <v>7.3804166666666671</v>
      </c>
      <c r="M17" s="21"/>
      <c r="N17" s="22">
        <f>N14</f>
        <v>8.5</v>
      </c>
    </row>
    <row r="18" spans="1:14" x14ac:dyDescent="0.2">
      <c r="A18" s="6" t="s">
        <v>60</v>
      </c>
      <c r="B18" s="13">
        <f>MAX(B9:E9)</f>
        <v>32</v>
      </c>
      <c r="C18" s="14"/>
      <c r="D18" s="14"/>
      <c r="E18" s="15"/>
      <c r="F18" s="13">
        <f>MAX(F9:K9)</f>
        <v>18.115000000000002</v>
      </c>
      <c r="G18" s="14"/>
      <c r="H18" s="14"/>
      <c r="I18" s="14"/>
      <c r="J18" s="14"/>
      <c r="K18" s="15"/>
      <c r="L18" s="13">
        <f>MAX(L9:M9)</f>
        <v>18.115000000000002</v>
      </c>
      <c r="M18" s="15"/>
      <c r="N18" s="22">
        <f>N9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Component_Specs</vt:lpstr>
      <vt:lpstr>Mission_Phases</vt:lpstr>
      <vt:lpstr>Duty_Factor_Matrix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Gidon Gautel</dc:creator>
  <cp:lastModifiedBy>Styles III, Bobby</cp:lastModifiedBy>
  <dcterms:created xsi:type="dcterms:W3CDTF">2015-06-05T18:19:34Z</dcterms:created>
  <dcterms:modified xsi:type="dcterms:W3CDTF">2026-09-14T18:38:33Z</dcterms:modified>
</cp:coreProperties>
</file>